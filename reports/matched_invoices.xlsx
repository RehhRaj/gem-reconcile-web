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DEMAND NUMBER</t>
        </is>
      </c>
      <c r="B1" t="inlineStr">
        <is>
          <t>SHIPMENT NUMBER</t>
        </is>
      </c>
      <c r="C1" t="inlineStr">
        <is>
          <t>CONTRACT NUMBER</t>
        </is>
      </c>
      <c r="D1" t="inlineStr">
        <is>
          <t>OFFERING TYPE</t>
        </is>
      </c>
      <c r="E1" t="inlineStr">
        <is>
          <t>PAYMENT MODE</t>
        </is>
      </c>
      <c r="F1" t="inlineStr">
        <is>
          <t>ORDER SUMMARY PAGE</t>
        </is>
      </c>
      <c r="G1" t="inlineStr">
        <is>
          <t>ORDER DATE</t>
        </is>
      </c>
      <c r="H1" t="inlineStr">
        <is>
          <t>SELLER NAME</t>
        </is>
      </c>
      <c r="I1" t="inlineStr">
        <is>
          <t>INVOICE NUMBER</t>
        </is>
      </c>
      <c r="J1" t="inlineStr">
        <is>
          <t>INVOICE DATE</t>
        </is>
      </c>
      <c r="K1" t="inlineStr">
        <is>
          <t>PRC NUMBER</t>
        </is>
      </c>
      <c r="L1" t="inlineStr">
        <is>
          <t>PRC DATE</t>
        </is>
      </c>
      <c r="M1" t="inlineStr">
        <is>
          <t>CRAC NUMBER</t>
        </is>
      </c>
      <c r="N1" t="inlineStr">
        <is>
          <t>CRAC DATE</t>
        </is>
      </c>
      <c r="O1" t="inlineStr">
        <is>
          <t>CRAC AMOUNT</t>
        </is>
      </c>
      <c r="P1" t="inlineStr">
        <is>
          <t>BILL NUMBER</t>
        </is>
      </c>
      <c r="Q1" t="inlineStr">
        <is>
          <t>BILL DETAILS PAGE</t>
        </is>
      </c>
      <c r="R1" t="inlineStr">
        <is>
          <t>PAID AMOUNT</t>
        </is>
      </c>
      <c r="S1" t="inlineStr">
        <is>
          <t>DEDUCTION</t>
        </is>
      </c>
      <c r="T1" t="inlineStr">
        <is>
          <t>PAYMENT DATE</t>
        </is>
      </c>
      <c r="U1" t="inlineStr">
        <is>
          <t>GEM_PRC_DATE</t>
        </is>
      </c>
      <c r="V1" t="inlineStr">
        <is>
          <t>CRAC_AMOUNT</t>
        </is>
      </c>
      <c r="W1" t="inlineStr">
        <is>
          <t>FY</t>
        </is>
      </c>
      <c r="X1" t="inlineStr">
        <is>
          <t>PAID_FLAG</t>
        </is>
      </c>
      <c r="Y1" t="inlineStr">
        <is>
          <t>MATCH_GROUP_ID</t>
        </is>
      </c>
      <c r="Z1" t="inlineStr">
        <is>
          <t>MATCH_TYPE</t>
        </is>
      </c>
      <c r="AA1" t="inlineStr">
        <is>
          <t>CONFIDENCE</t>
        </is>
      </c>
      <c r="AB1" t="inlineStr">
        <is>
          <t>PAO_BILL_PASS_DATE_FINAL</t>
        </is>
      </c>
      <c r="AC1" t="inlineStr">
        <is>
          <t>PAO_BILL_NO_FINAL</t>
        </is>
      </c>
      <c r="AD1" t="inlineStr">
        <is>
          <t>REJECTION_REASON</t>
        </is>
      </c>
    </row>
    <row r="2">
      <c r="A2">
        <f>"511687762394839"</f>
        <v/>
      </c>
      <c r="B2" t="inlineStr">
        <is>
          <t>511687762394839-1</t>
        </is>
      </c>
      <c r="C2" t="inlineStr">
        <is>
          <t>GEMC-511687762394839</t>
        </is>
      </c>
      <c r="D2" t="inlineStr">
        <is>
          <t>goods</t>
        </is>
      </c>
      <c r="E2" t="inlineStr">
        <is>
          <t>Offline</t>
        </is>
      </c>
      <c r="F2" t="inlineStr">
        <is>
          <t>https://mkp.gem.gov.in/dashboard#!/products/order/511687762394839</t>
        </is>
      </c>
      <c r="G2" t="inlineStr">
        <is>
          <t>12.04.2024 12:01</t>
        </is>
      </c>
      <c r="H2" t="inlineStr">
        <is>
          <t>ADVIK TRADERS</t>
        </is>
      </c>
      <c r="I2" t="inlineStr">
        <is>
          <t>GEM-42998426</t>
        </is>
      </c>
      <c r="J2" s="1" t="n">
        <v>45400.32788194445</v>
      </c>
      <c r="K2" t="n">
        <v>20697154</v>
      </c>
      <c r="L2" t="inlineStr">
        <is>
          <t>18-04-2024</t>
        </is>
      </c>
      <c r="M2" t="inlineStr">
        <is>
          <t>GEMCRAC-1-511687762394839-1</t>
        </is>
      </c>
      <c r="N2" t="inlineStr">
        <is>
          <t>05-10-2024</t>
        </is>
      </c>
      <c r="O2" t="n">
        <v>190723</v>
      </c>
      <c r="P2" t="inlineStr"/>
      <c r="Q2" t="inlineStr">
        <is>
          <t>https://mkp.gem.gov.in/finance#!/process_bill/511687762394839-1</t>
        </is>
      </c>
      <c r="R2" t="n">
        <v>190723</v>
      </c>
      <c r="S2" t="n">
        <v>0</v>
      </c>
      <c r="T2" t="inlineStr">
        <is>
          <t>yyyymmdd</t>
        </is>
      </c>
      <c r="U2" s="2" t="n">
        <v>45400</v>
      </c>
      <c r="V2" t="n">
        <v>190723</v>
      </c>
      <c r="W2" t="n">
        <v>2024</v>
      </c>
      <c r="X2" t="b">
        <v>1</v>
      </c>
      <c r="Y2" t="inlineStr">
        <is>
          <t>MG00001</t>
        </is>
      </c>
      <c r="Z2" t="inlineStr">
        <is>
          <t>AUTO_SINGLE</t>
        </is>
      </c>
      <c r="AA2" t="inlineStr">
        <is>
          <t>HIGH</t>
        </is>
      </c>
      <c r="AB2" s="2" t="n">
        <v>45411</v>
      </c>
      <c r="AC2" t="inlineStr">
        <is>
          <t>CB-24</t>
        </is>
      </c>
      <c r="AD2" t="inlineStr"/>
    </row>
    <row r="3">
      <c r="A3">
        <f>"511687786416282"</f>
        <v/>
      </c>
      <c r="B3" t="inlineStr">
        <is>
          <t>511687786416282-1</t>
        </is>
      </c>
      <c r="C3" t="inlineStr">
        <is>
          <t>GEMC-511687786416282</t>
        </is>
      </c>
      <c r="D3" t="inlineStr">
        <is>
          <t>goods</t>
        </is>
      </c>
      <c r="E3" t="inlineStr">
        <is>
          <t>Offline</t>
        </is>
      </c>
      <c r="F3" t="inlineStr">
        <is>
          <t>https://mkp.gem.gov.in/dashboard#!/products/order/511687786416282</t>
        </is>
      </c>
      <c r="G3" t="inlineStr">
        <is>
          <t>12.04.2024 12:05</t>
        </is>
      </c>
      <c r="H3" t="inlineStr">
        <is>
          <t>ADVIK TRADERS</t>
        </is>
      </c>
      <c r="I3" t="inlineStr">
        <is>
          <t>GEM-42998433</t>
        </is>
      </c>
      <c r="J3" s="1" t="n">
        <v>45400.33041666666</v>
      </c>
      <c r="K3" t="n">
        <v>20697161</v>
      </c>
      <c r="L3" t="inlineStr">
        <is>
          <t>18-04-2024</t>
        </is>
      </c>
      <c r="M3" t="inlineStr">
        <is>
          <t>GEMCRAC-1-511687786416282-1</t>
        </is>
      </c>
      <c r="N3" t="inlineStr">
        <is>
          <t>05-10-2024</t>
        </is>
      </c>
      <c r="O3" t="n">
        <v>28620</v>
      </c>
      <c r="P3" t="inlineStr"/>
      <c r="Q3" t="inlineStr">
        <is>
          <t>https://mkp.gem.gov.in/finance#!/process_bill/511687786416282-1</t>
        </is>
      </c>
      <c r="R3" t="n">
        <v>28620</v>
      </c>
      <c r="S3" t="n">
        <v>0</v>
      </c>
      <c r="T3" t="inlineStr">
        <is>
          <t>yyyymmdd</t>
        </is>
      </c>
      <c r="U3" s="2" t="n">
        <v>45400</v>
      </c>
      <c r="V3" t="n">
        <v>28620</v>
      </c>
      <c r="W3" t="n">
        <v>2024</v>
      </c>
      <c r="X3" t="b">
        <v>1</v>
      </c>
      <c r="Y3" t="inlineStr">
        <is>
          <t>MG00002</t>
        </is>
      </c>
      <c r="Z3" t="inlineStr">
        <is>
          <t>AUTO_SINGLE</t>
        </is>
      </c>
      <c r="AA3" t="inlineStr">
        <is>
          <t>HIGH</t>
        </is>
      </c>
      <c r="AB3" s="2" t="n">
        <v>45411</v>
      </c>
      <c r="AC3" t="inlineStr">
        <is>
          <t>CB-25</t>
        </is>
      </c>
      <c r="AD3" t="inlineStr"/>
    </row>
    <row r="4">
      <c r="A4">
        <f>"511687791254591"</f>
        <v/>
      </c>
      <c r="B4" t="inlineStr">
        <is>
          <t>511687791254591-1</t>
        </is>
      </c>
      <c r="C4" t="inlineStr">
        <is>
          <t>GEMC-511687791254591</t>
        </is>
      </c>
      <c r="D4" t="inlineStr">
        <is>
          <t>goods</t>
        </is>
      </c>
      <c r="E4" t="inlineStr">
        <is>
          <t>Offline</t>
        </is>
      </c>
      <c r="F4" t="inlineStr">
        <is>
          <t>https://mkp.gem.gov.in/dashboard#!/products/order/511687791254591</t>
        </is>
      </c>
      <c r="G4" t="inlineStr">
        <is>
          <t>12.04.2024 12:08</t>
        </is>
      </c>
      <c r="H4" t="inlineStr">
        <is>
          <t>ADVIK TRADERS</t>
        </is>
      </c>
      <c r="I4" t="inlineStr">
        <is>
          <t>GEM-42998444</t>
        </is>
      </c>
      <c r="J4" s="1" t="n">
        <v>45400.33318287037</v>
      </c>
      <c r="K4" t="n">
        <v>20697173</v>
      </c>
      <c r="L4" t="inlineStr">
        <is>
          <t>18-04-2024</t>
        </is>
      </c>
      <c r="M4" t="inlineStr">
        <is>
          <t>GEMCRAC-1-511687791254591-1</t>
        </is>
      </c>
      <c r="N4" t="inlineStr">
        <is>
          <t>05-10-2024</t>
        </is>
      </c>
      <c r="O4" t="n">
        <v>14310</v>
      </c>
      <c r="P4" t="inlineStr"/>
      <c r="Q4" t="inlineStr">
        <is>
          <t>https://mkp.gem.gov.in/finance#!/process_bill/511687791254591-1</t>
        </is>
      </c>
      <c r="R4" t="n">
        <v>14310</v>
      </c>
      <c r="S4" t="n">
        <v>0</v>
      </c>
      <c r="T4" t="inlineStr">
        <is>
          <t>yyyymmdd</t>
        </is>
      </c>
      <c r="U4" s="2" t="n">
        <v>45400</v>
      </c>
      <c r="V4" t="n">
        <v>14310</v>
      </c>
      <c r="W4" t="n">
        <v>2024</v>
      </c>
      <c r="X4" t="b">
        <v>1</v>
      </c>
      <c r="Y4" t="inlineStr">
        <is>
          <t>MG00003</t>
        </is>
      </c>
      <c r="Z4" t="inlineStr">
        <is>
          <t>AUTO_SINGLE</t>
        </is>
      </c>
      <c r="AA4" t="inlineStr">
        <is>
          <t>HIGH</t>
        </is>
      </c>
      <c r="AB4" s="2" t="n">
        <v>45411</v>
      </c>
      <c r="AC4" t="inlineStr">
        <is>
          <t>CB-26</t>
        </is>
      </c>
      <c r="AD4" t="inlineStr"/>
    </row>
    <row r="5">
      <c r="A5">
        <f>"511687753907931"</f>
        <v/>
      </c>
      <c r="B5" t="inlineStr">
        <is>
          <t>511687753907931-1</t>
        </is>
      </c>
      <c r="C5" t="inlineStr">
        <is>
          <t>GEMC-511687753907931</t>
        </is>
      </c>
      <c r="D5" t="inlineStr">
        <is>
          <t>goods</t>
        </is>
      </c>
      <c r="E5" t="inlineStr">
        <is>
          <t>Offline</t>
        </is>
      </c>
      <c r="F5" t="inlineStr">
        <is>
          <t>https://mkp.gem.gov.in/dashboard#!/products/order/511687753907931</t>
        </is>
      </c>
      <c r="G5" t="inlineStr">
        <is>
          <t>12.04.2024 12:11</t>
        </is>
      </c>
      <c r="H5" t="inlineStr">
        <is>
          <t>ADVIK TRADERS</t>
        </is>
      </c>
      <c r="I5" t="inlineStr">
        <is>
          <t>GEM-42998450</t>
        </is>
      </c>
      <c r="J5" s="1" t="n">
        <v>45400.33427083334</v>
      </c>
      <c r="K5" t="n">
        <v>20697093</v>
      </c>
      <c r="L5" t="inlineStr">
        <is>
          <t>18-04-2024</t>
        </is>
      </c>
      <c r="M5" t="inlineStr">
        <is>
          <t>GEMCRAC-1-511687753907931-1</t>
        </is>
      </c>
      <c r="N5" t="inlineStr">
        <is>
          <t>05-10-2024</t>
        </is>
      </c>
      <c r="O5" t="n">
        <v>17184</v>
      </c>
      <c r="P5" t="inlineStr"/>
      <c r="Q5" t="inlineStr">
        <is>
          <t>https://mkp.gem.gov.in/finance#!/process_bill/511687753907931-1</t>
        </is>
      </c>
      <c r="R5" t="n">
        <v>17184</v>
      </c>
      <c r="S5" t="n">
        <v>0</v>
      </c>
      <c r="T5" t="inlineStr">
        <is>
          <t>yyyymmdd</t>
        </is>
      </c>
      <c r="U5" s="2" t="n">
        <v>45400</v>
      </c>
      <c r="V5" t="n">
        <v>17184</v>
      </c>
      <c r="W5" t="n">
        <v>2024</v>
      </c>
      <c r="X5" t="b">
        <v>1</v>
      </c>
      <c r="Y5" t="inlineStr">
        <is>
          <t>MG00004</t>
        </is>
      </c>
      <c r="Z5" t="inlineStr">
        <is>
          <t>AUTO_SINGLE</t>
        </is>
      </c>
      <c r="AA5" t="inlineStr">
        <is>
          <t>HIGH</t>
        </is>
      </c>
      <c r="AB5" s="2" t="n">
        <v>45411</v>
      </c>
      <c r="AC5" t="inlineStr">
        <is>
          <t>CB-27</t>
        </is>
      </c>
      <c r="AD5" t="inlineStr"/>
    </row>
    <row r="6">
      <c r="A6">
        <f>"511687738455326"</f>
        <v/>
      </c>
      <c r="B6" t="inlineStr">
        <is>
          <t>511687738455326-1</t>
        </is>
      </c>
      <c r="C6" t="inlineStr">
        <is>
          <t>GEMC-511687738455326</t>
        </is>
      </c>
      <c r="D6" t="inlineStr">
        <is>
          <t>goods</t>
        </is>
      </c>
      <c r="E6" t="inlineStr">
        <is>
          <t>Offline</t>
        </is>
      </c>
      <c r="F6" t="inlineStr">
        <is>
          <t>https://mkp.gem.gov.in/dashboard#!/products/order/511687738455326</t>
        </is>
      </c>
      <c r="G6" t="inlineStr">
        <is>
          <t>12.04.2024 12:13</t>
        </is>
      </c>
      <c r="H6" t="inlineStr">
        <is>
          <t>ADVIK TRADERS</t>
        </is>
      </c>
      <c r="I6" t="inlineStr">
        <is>
          <t>GEM-42998457</t>
        </is>
      </c>
      <c r="J6" s="1" t="n">
        <v>45400.33532407408</v>
      </c>
      <c r="K6" t="n">
        <v>20697112</v>
      </c>
      <c r="L6" t="inlineStr">
        <is>
          <t>18-04-2024</t>
        </is>
      </c>
      <c r="M6" t="inlineStr">
        <is>
          <t>GEMCRAC-1-511687738455326-1</t>
        </is>
      </c>
      <c r="N6" t="inlineStr">
        <is>
          <t>05-10-2024</t>
        </is>
      </c>
      <c r="O6" t="n">
        <v>1780</v>
      </c>
      <c r="P6" t="inlineStr"/>
      <c r="Q6" t="inlineStr">
        <is>
          <t>https://mkp.gem.gov.in/finance#!/process_bill/511687738455326-1</t>
        </is>
      </c>
      <c r="R6" t="n">
        <v>1780</v>
      </c>
      <c r="S6" t="n">
        <v>0</v>
      </c>
      <c r="T6" t="inlineStr">
        <is>
          <t>yyyymmdd</t>
        </is>
      </c>
      <c r="U6" s="2" t="n">
        <v>45400</v>
      </c>
      <c r="V6" t="n">
        <v>1780</v>
      </c>
      <c r="W6" t="n">
        <v>2024</v>
      </c>
      <c r="X6" t="b">
        <v>1</v>
      </c>
      <c r="Y6" t="inlineStr">
        <is>
          <t>MG00005</t>
        </is>
      </c>
      <c r="Z6" t="inlineStr">
        <is>
          <t>AUTO_SINGLE</t>
        </is>
      </c>
      <c r="AA6" t="inlineStr">
        <is>
          <t>HIGH</t>
        </is>
      </c>
      <c r="AB6" s="2" t="n">
        <v>45411</v>
      </c>
      <c r="AC6" t="inlineStr">
        <is>
          <t>CB-28</t>
        </is>
      </c>
      <c r="AD6" t="inlineStr"/>
    </row>
    <row r="7">
      <c r="A7">
        <f>"511687739495331"</f>
        <v/>
      </c>
      <c r="B7" t="inlineStr">
        <is>
          <t>511687739495331-1</t>
        </is>
      </c>
      <c r="C7" t="inlineStr">
        <is>
          <t>GEMC-511687739495331</t>
        </is>
      </c>
      <c r="D7" t="inlineStr">
        <is>
          <t>goods</t>
        </is>
      </c>
      <c r="E7" t="inlineStr">
        <is>
          <t>Offline</t>
        </is>
      </c>
      <c r="F7" t="inlineStr">
        <is>
          <t>https://mkp.gem.gov.in/dashboard#!/products/order/511687739495331</t>
        </is>
      </c>
      <c r="G7" t="inlineStr">
        <is>
          <t>12.04.2024 12:15</t>
        </is>
      </c>
      <c r="H7" t="inlineStr">
        <is>
          <t>ADVIK TRADERS</t>
        </is>
      </c>
      <c r="I7" t="inlineStr">
        <is>
          <t>GEM-42998464</t>
        </is>
      </c>
      <c r="J7" s="1" t="n">
        <v>45400.33646990741</v>
      </c>
      <c r="K7" t="n">
        <v>20697122</v>
      </c>
      <c r="L7" t="inlineStr">
        <is>
          <t>18-04-2024</t>
        </is>
      </c>
      <c r="M7" t="inlineStr">
        <is>
          <t>GEMCRAC-1-511687739495331-1</t>
        </is>
      </c>
      <c r="N7" t="inlineStr">
        <is>
          <t>05-10-2024</t>
        </is>
      </c>
      <c r="O7" t="n">
        <v>1780</v>
      </c>
      <c r="P7" t="inlineStr"/>
      <c r="Q7" t="inlineStr">
        <is>
          <t>https://mkp.gem.gov.in/finance#!/process_bill/511687739495331-1</t>
        </is>
      </c>
      <c r="R7" t="n">
        <v>1780</v>
      </c>
      <c r="S7" t="n">
        <v>0</v>
      </c>
      <c r="T7" t="inlineStr">
        <is>
          <t>yyyymmdd</t>
        </is>
      </c>
      <c r="U7" s="2" t="n">
        <v>45400</v>
      </c>
      <c r="V7" t="n">
        <v>1780</v>
      </c>
      <c r="W7" t="n">
        <v>2024</v>
      </c>
      <c r="X7" t="b">
        <v>1</v>
      </c>
      <c r="Y7" t="inlineStr">
        <is>
          <t>MG00006</t>
        </is>
      </c>
      <c r="Z7" t="inlineStr">
        <is>
          <t>AUTO_SINGLE</t>
        </is>
      </c>
      <c r="AA7" t="inlineStr">
        <is>
          <t>HIGH</t>
        </is>
      </c>
      <c r="AB7" s="2" t="n">
        <v>45411</v>
      </c>
      <c r="AC7" t="inlineStr">
        <is>
          <t>CB-29</t>
        </is>
      </c>
      <c r="AD7" t="inlineStr"/>
    </row>
    <row r="8">
      <c r="A8">
        <f>"511687784587199"</f>
        <v/>
      </c>
      <c r="B8" t="inlineStr">
        <is>
          <t>511687784587199-1</t>
        </is>
      </c>
      <c r="C8" t="inlineStr">
        <is>
          <t>GEMC-511687784587199</t>
        </is>
      </c>
      <c r="D8" t="inlineStr">
        <is>
          <t>goods</t>
        </is>
      </c>
      <c r="E8" t="inlineStr">
        <is>
          <t>Offline</t>
        </is>
      </c>
      <c r="F8" t="inlineStr">
        <is>
          <t>https://mkp.gem.gov.in/dashboard#!/products/order/511687784587199</t>
        </is>
      </c>
      <c r="G8" t="inlineStr">
        <is>
          <t>15.04.2024 11:23</t>
        </is>
      </c>
      <c r="H8" t="inlineStr">
        <is>
          <t>MOULYA TRADING COMPANY</t>
        </is>
      </c>
      <c r="I8" t="inlineStr">
        <is>
          <t>GEM-43037972</t>
        </is>
      </c>
      <c r="J8" s="1" t="n">
        <v>45402.73841435185</v>
      </c>
      <c r="K8" t="n">
        <v>20697219</v>
      </c>
      <c r="L8" t="inlineStr">
        <is>
          <t>20-04-2024</t>
        </is>
      </c>
      <c r="M8" t="inlineStr">
        <is>
          <t>GEMCRAC-1-511687784587199-1</t>
        </is>
      </c>
      <c r="N8" t="inlineStr">
        <is>
          <t>05-10-2024</t>
        </is>
      </c>
      <c r="O8" t="n">
        <v>24000</v>
      </c>
      <c r="P8" t="inlineStr"/>
      <c r="Q8" t="inlineStr">
        <is>
          <t>https://mkp.gem.gov.in/finance#!/process_bill/511687784587199-1</t>
        </is>
      </c>
      <c r="R8" t="n">
        <v>24000</v>
      </c>
      <c r="S8" t="n">
        <v>0</v>
      </c>
      <c r="T8" t="inlineStr">
        <is>
          <t>yyyymmdd</t>
        </is>
      </c>
      <c r="U8" s="2" t="n">
        <v>45402</v>
      </c>
      <c r="V8" t="n">
        <v>24000</v>
      </c>
      <c r="W8" t="n">
        <v>2024</v>
      </c>
      <c r="X8" t="b">
        <v>1</v>
      </c>
      <c r="Y8" t="inlineStr">
        <is>
          <t>MG00012</t>
        </is>
      </c>
      <c r="Z8" t="inlineStr">
        <is>
          <t>AUTO_SINGLE</t>
        </is>
      </c>
      <c r="AA8" t="inlineStr">
        <is>
          <t>HIGH</t>
        </is>
      </c>
      <c r="AB8" s="2" t="n">
        <v>45456</v>
      </c>
      <c r="AC8" t="inlineStr">
        <is>
          <t>CB-48</t>
        </is>
      </c>
      <c r="AD8" t="inlineStr"/>
    </row>
    <row r="9">
      <c r="A9">
        <f>"511687760311401"</f>
        <v/>
      </c>
      <c r="B9" t="inlineStr">
        <is>
          <t>511687760311401-1</t>
        </is>
      </c>
      <c r="C9" t="inlineStr">
        <is>
          <t>GEMC-511687760311401</t>
        </is>
      </c>
      <c r="D9" t="inlineStr">
        <is>
          <t>goods</t>
        </is>
      </c>
      <c r="E9" t="inlineStr">
        <is>
          <t>Offline</t>
        </is>
      </c>
      <c r="F9" t="inlineStr">
        <is>
          <t>https://mkp.gem.gov.in/dashboard#!/products/order/511687760311401</t>
        </is>
      </c>
      <c r="G9" t="inlineStr">
        <is>
          <t>15.04.2024 11:25</t>
        </is>
      </c>
      <c r="H9" t="inlineStr">
        <is>
          <t>Aaradhya Enterprises</t>
        </is>
      </c>
      <c r="I9" t="inlineStr">
        <is>
          <t>GEM-43035596</t>
        </is>
      </c>
      <c r="J9" s="1" t="n">
        <v>45402.67591435185</v>
      </c>
      <c r="K9" t="n">
        <v>20697239</v>
      </c>
      <c r="L9" t="inlineStr">
        <is>
          <t>20-04-2024</t>
        </is>
      </c>
      <c r="M9" t="inlineStr">
        <is>
          <t>GEMCRAC-1-511687760311401-1</t>
        </is>
      </c>
      <c r="N9" t="inlineStr">
        <is>
          <t>05-10-2024</t>
        </is>
      </c>
      <c r="O9" t="n">
        <v>24000</v>
      </c>
      <c r="P9" t="inlineStr"/>
      <c r="Q9" t="inlineStr">
        <is>
          <t>https://mkp.gem.gov.in/finance#!/process_bill/511687760311401-1</t>
        </is>
      </c>
      <c r="R9" t="n">
        <v>24000</v>
      </c>
      <c r="S9" t="n">
        <v>0</v>
      </c>
      <c r="T9" t="inlineStr">
        <is>
          <t>yyyymmdd</t>
        </is>
      </c>
      <c r="U9" s="2" t="n">
        <v>45402</v>
      </c>
      <c r="V9" t="n">
        <v>24000</v>
      </c>
      <c r="W9" t="n">
        <v>2024</v>
      </c>
      <c r="X9" t="b">
        <v>1</v>
      </c>
      <c r="Y9" t="inlineStr">
        <is>
          <t>MG00014</t>
        </is>
      </c>
      <c r="Z9" t="inlineStr">
        <is>
          <t>AUTO_SINGLE</t>
        </is>
      </c>
      <c r="AA9" t="inlineStr">
        <is>
          <t>HIGH</t>
        </is>
      </c>
      <c r="AB9" s="2" t="n">
        <v>45572</v>
      </c>
      <c r="AC9" t="inlineStr">
        <is>
          <t>CB-49</t>
        </is>
      </c>
      <c r="AD9" t="inlineStr"/>
    </row>
    <row r="10">
      <c r="A10">
        <f>"511687704500331"</f>
        <v/>
      </c>
      <c r="B10" t="inlineStr">
        <is>
          <t>511687704500331-1</t>
        </is>
      </c>
      <c r="C10" t="inlineStr">
        <is>
          <t>GEMC-511687704500331</t>
        </is>
      </c>
      <c r="D10" t="inlineStr">
        <is>
          <t>goods</t>
        </is>
      </c>
      <c r="E10" t="inlineStr">
        <is>
          <t>Offline</t>
        </is>
      </c>
      <c r="F10" t="inlineStr">
        <is>
          <t>https://mkp.gem.gov.in/dashboard#!/products/order/511687704500331</t>
        </is>
      </c>
      <c r="G10" t="inlineStr">
        <is>
          <t>15.04.2024 11:26</t>
        </is>
      </c>
      <c r="H10" t="inlineStr">
        <is>
          <t>KRISHIV ENTERPRISES</t>
        </is>
      </c>
      <c r="I10" t="inlineStr">
        <is>
          <t>GEM-43044070</t>
        </is>
      </c>
      <c r="J10" s="1" t="n">
        <v>45403.64869212963</v>
      </c>
      <c r="K10" t="n">
        <v>20697550</v>
      </c>
      <c r="L10" t="inlineStr">
        <is>
          <t>21-04-2024</t>
        </is>
      </c>
      <c r="M10" t="inlineStr">
        <is>
          <t>GEMCRAC-1-511687704500331-1</t>
        </is>
      </c>
      <c r="N10" t="inlineStr">
        <is>
          <t>05-10-2024</t>
        </is>
      </c>
      <c r="O10" t="n">
        <v>23920</v>
      </c>
      <c r="P10" t="inlineStr"/>
      <c r="Q10" t="inlineStr">
        <is>
          <t>https://mkp.gem.gov.in/finance#!/process_bill/511687704500331-1</t>
        </is>
      </c>
      <c r="R10" t="n">
        <v>23920</v>
      </c>
      <c r="S10" t="n">
        <v>0</v>
      </c>
      <c r="T10" t="inlineStr">
        <is>
          <t>yyyymmdd</t>
        </is>
      </c>
      <c r="U10" s="2" t="n">
        <v>45403</v>
      </c>
      <c r="V10" t="n">
        <v>23920</v>
      </c>
      <c r="W10" t="n">
        <v>2024</v>
      </c>
      <c r="X10" t="b">
        <v>1</v>
      </c>
      <c r="Y10" t="inlineStr">
        <is>
          <t>MG00007</t>
        </is>
      </c>
      <c r="Z10" t="inlineStr">
        <is>
          <t>AUTO_SINGLE</t>
        </is>
      </c>
      <c r="AA10" t="inlineStr">
        <is>
          <t>HIGH</t>
        </is>
      </c>
      <c r="AB10" s="2" t="n">
        <v>45450</v>
      </c>
      <c r="AC10" t="inlineStr">
        <is>
          <t>CB-50</t>
        </is>
      </c>
      <c r="AD10" t="inlineStr"/>
    </row>
    <row r="11">
      <c r="A11">
        <f>"511687776062821"</f>
        <v/>
      </c>
      <c r="B11" t="inlineStr">
        <is>
          <t>511687776062821-1</t>
        </is>
      </c>
      <c r="C11" t="inlineStr">
        <is>
          <t>GEMC-511687776062821</t>
        </is>
      </c>
      <c r="D11" t="inlineStr">
        <is>
          <t>goods</t>
        </is>
      </c>
      <c r="E11" t="inlineStr">
        <is>
          <t>Offline</t>
        </is>
      </c>
      <c r="F11" t="inlineStr">
        <is>
          <t>https://mkp.gem.gov.in/dashboard#!/products/order/511687776062821</t>
        </is>
      </c>
      <c r="G11" t="inlineStr">
        <is>
          <t>15.04.2024 11:27</t>
        </is>
      </c>
      <c r="H11" t="inlineStr">
        <is>
          <t>ANKUSH TRADERS</t>
        </is>
      </c>
      <c r="I11" t="inlineStr">
        <is>
          <t>GEM-43044202</t>
        </is>
      </c>
      <c r="J11" s="1" t="n">
        <v>45403.67550925926</v>
      </c>
      <c r="K11" t="n">
        <v>20697562</v>
      </c>
      <c r="L11" t="inlineStr">
        <is>
          <t>21-04-2024</t>
        </is>
      </c>
      <c r="M11" t="inlineStr">
        <is>
          <t>GEMCRAC-1-511687776062821-1</t>
        </is>
      </c>
      <c r="N11" t="inlineStr">
        <is>
          <t>05-10-2024</t>
        </is>
      </c>
      <c r="O11" t="n">
        <v>24000</v>
      </c>
      <c r="P11" t="inlineStr"/>
      <c r="Q11" t="inlineStr">
        <is>
          <t>https://mkp.gem.gov.in/finance#!/process_bill/511687776062821-1</t>
        </is>
      </c>
      <c r="R11" t="n">
        <v>24000</v>
      </c>
      <c r="S11" t="n">
        <v>0</v>
      </c>
      <c r="T11" t="inlineStr">
        <is>
          <t>yyyymmdd</t>
        </is>
      </c>
      <c r="U11" s="2" t="n">
        <v>45403</v>
      </c>
      <c r="V11" t="n">
        <v>24000</v>
      </c>
      <c r="W11" t="n">
        <v>2024</v>
      </c>
      <c r="X11" t="b">
        <v>1</v>
      </c>
      <c r="Y11" t="inlineStr">
        <is>
          <t>MG00015</t>
        </is>
      </c>
      <c r="Z11" t="inlineStr">
        <is>
          <t>AUTO_SINGLE</t>
        </is>
      </c>
      <c r="AA11" t="inlineStr">
        <is>
          <t>HIGH</t>
        </is>
      </c>
      <c r="AB11" s="2" t="n">
        <v>45555</v>
      </c>
      <c r="AC11" t="inlineStr">
        <is>
          <t>CB-47</t>
        </is>
      </c>
      <c r="AD11" t="inlineStr"/>
    </row>
    <row r="12">
      <c r="A12">
        <f>"511687770146637"</f>
        <v/>
      </c>
      <c r="B12" t="inlineStr">
        <is>
          <t>511687770146637-1</t>
        </is>
      </c>
      <c r="C12" t="inlineStr">
        <is>
          <t>GEMC-511687770146637</t>
        </is>
      </c>
      <c r="D12" t="inlineStr">
        <is>
          <t>goods</t>
        </is>
      </c>
      <c r="E12" t="inlineStr">
        <is>
          <t>Offline</t>
        </is>
      </c>
      <c r="F12" t="inlineStr">
        <is>
          <t>https://mkp.gem.gov.in/dashboard#!/products/order/511687770146637</t>
        </is>
      </c>
      <c r="G12" t="inlineStr">
        <is>
          <t>16.04.2024 08:55</t>
        </is>
      </c>
      <c r="H12" t="inlineStr">
        <is>
          <t>PRIYANKA ENTERPRISES</t>
        </is>
      </c>
      <c r="I12" t="inlineStr">
        <is>
          <t>GEM-42970384</t>
        </is>
      </c>
      <c r="J12" s="1" t="n">
        <v>45398.51403935185</v>
      </c>
      <c r="K12" t="n">
        <v>20697704</v>
      </c>
      <c r="L12" t="inlineStr">
        <is>
          <t>16-04-2024</t>
        </is>
      </c>
      <c r="M12" t="inlineStr">
        <is>
          <t>GEMCRAC-1-511687770146637-1</t>
        </is>
      </c>
      <c r="N12" t="inlineStr">
        <is>
          <t>05-10-2024</t>
        </is>
      </c>
      <c r="O12" t="n">
        <v>31375</v>
      </c>
      <c r="P12" t="inlineStr"/>
      <c r="Q12" t="inlineStr">
        <is>
          <t>https://mkp.gem.gov.in/finance#!/process_bill/511687770146637-1</t>
        </is>
      </c>
      <c r="R12" t="n">
        <v>31375</v>
      </c>
      <c r="S12" t="n">
        <v>0</v>
      </c>
      <c r="T12" t="inlineStr">
        <is>
          <t>yyyymmdd</t>
        </is>
      </c>
      <c r="U12" s="2" t="n">
        <v>45398</v>
      </c>
      <c r="V12" t="n">
        <v>31375</v>
      </c>
      <c r="W12" t="n">
        <v>2024</v>
      </c>
      <c r="X12" t="b">
        <v>1</v>
      </c>
      <c r="Y12" t="inlineStr">
        <is>
          <t>MG00008</t>
        </is>
      </c>
      <c r="Z12" t="inlineStr">
        <is>
          <t>AUTO_SINGLE</t>
        </is>
      </c>
      <c r="AA12" t="inlineStr">
        <is>
          <t>HIGH</t>
        </is>
      </c>
      <c r="AB12" s="2" t="n">
        <v>45420</v>
      </c>
      <c r="AC12" t="inlineStr">
        <is>
          <t>CB-33</t>
        </is>
      </c>
      <c r="AD12" t="inlineStr"/>
    </row>
    <row r="13">
      <c r="A13">
        <f>"511687770146637"</f>
        <v/>
      </c>
      <c r="B13" t="inlineStr">
        <is>
          <t>511687770146637-2</t>
        </is>
      </c>
      <c r="C13" t="inlineStr">
        <is>
          <t>GEMC-511687770146637</t>
        </is>
      </c>
      <c r="D13" t="inlineStr">
        <is>
          <t>goods</t>
        </is>
      </c>
      <c r="E13" t="inlineStr">
        <is>
          <t>Offline</t>
        </is>
      </c>
      <c r="F13" t="inlineStr">
        <is>
          <t>https://mkp.gem.gov.in/dashboard#!/products/order/511687770146637</t>
        </is>
      </c>
      <c r="G13" t="inlineStr">
        <is>
          <t>16.04.2024 08:55</t>
        </is>
      </c>
      <c r="H13" t="inlineStr">
        <is>
          <t>PRIYANKA ENTERPRISES</t>
        </is>
      </c>
      <c r="I13" t="inlineStr">
        <is>
          <t>GEM-42969879</t>
        </is>
      </c>
      <c r="J13" s="1" t="n">
        <v>45398.50478009259</v>
      </c>
      <c r="K13" t="n">
        <v>20697776</v>
      </c>
      <c r="L13" t="inlineStr">
        <is>
          <t>16-04-2024</t>
        </is>
      </c>
      <c r="M13" t="inlineStr">
        <is>
          <t>GEMCRAC-1-511687770146637-2</t>
        </is>
      </c>
      <c r="N13" t="inlineStr">
        <is>
          <t>05-10-2024</t>
        </is>
      </c>
      <c r="O13" t="n">
        <v>49975</v>
      </c>
      <c r="P13" t="inlineStr"/>
      <c r="Q13" t="inlineStr">
        <is>
          <t>https://mkp.gem.gov.in/finance#!/process_bill/511687770146637-2</t>
        </is>
      </c>
      <c r="R13" t="n">
        <v>49975</v>
      </c>
      <c r="S13" t="n">
        <v>0</v>
      </c>
      <c r="T13" t="inlineStr">
        <is>
          <t>yyyymmdd</t>
        </is>
      </c>
      <c r="U13" s="2" t="n">
        <v>45398</v>
      </c>
      <c r="V13" t="n">
        <v>49975</v>
      </c>
      <c r="W13" t="n">
        <v>2024</v>
      </c>
      <c r="X13" t="b">
        <v>1</v>
      </c>
      <c r="Y13" t="inlineStr">
        <is>
          <t>MG00011</t>
        </is>
      </c>
      <c r="Z13" t="inlineStr">
        <is>
          <t>AUTO_SINGLE</t>
        </is>
      </c>
      <c r="AA13" t="inlineStr">
        <is>
          <t>HIGH</t>
        </is>
      </c>
      <c r="AB13" s="2" t="n">
        <v>45420</v>
      </c>
      <c r="AC13" t="inlineStr">
        <is>
          <t>CB-30</t>
        </is>
      </c>
      <c r="AD13" t="inlineStr"/>
    </row>
    <row r="14">
      <c r="A14">
        <f>"511687770146637"</f>
        <v/>
      </c>
      <c r="B14" t="inlineStr">
        <is>
          <t>511687770146637-3</t>
        </is>
      </c>
      <c r="C14" t="inlineStr">
        <is>
          <t>GEMC-511687770146637</t>
        </is>
      </c>
      <c r="D14" t="inlineStr">
        <is>
          <t>goods</t>
        </is>
      </c>
      <c r="E14" t="inlineStr">
        <is>
          <t>Offline</t>
        </is>
      </c>
      <c r="F14" t="inlineStr">
        <is>
          <t>https://mkp.gem.gov.in/dashboard#!/products/order/511687770146637</t>
        </is>
      </c>
      <c r="G14" t="inlineStr">
        <is>
          <t>16.04.2024 08:55</t>
        </is>
      </c>
      <c r="H14" t="inlineStr">
        <is>
          <t>PRIYANKA ENTERPRISES</t>
        </is>
      </c>
      <c r="I14" t="inlineStr">
        <is>
          <t>GEM-42970211</t>
        </is>
      </c>
      <c r="J14" s="1" t="n">
        <v>45398.51064814815</v>
      </c>
      <c r="K14" t="n">
        <v>20697787</v>
      </c>
      <c r="L14" t="inlineStr">
        <is>
          <t>16-04-2024</t>
        </is>
      </c>
      <c r="M14" t="inlineStr">
        <is>
          <t>GEMCRAC-1-511687770146637-3</t>
        </is>
      </c>
      <c r="N14" t="inlineStr">
        <is>
          <t>05-10-2024</t>
        </is>
      </c>
      <c r="O14" t="n">
        <v>49550</v>
      </c>
      <c r="P14" t="inlineStr"/>
      <c r="Q14" t="inlineStr">
        <is>
          <t>https://mkp.gem.gov.in/finance#!/process_bill/511687770146637-3</t>
        </is>
      </c>
      <c r="R14" t="n">
        <v>49550</v>
      </c>
      <c r="S14" t="n">
        <v>0</v>
      </c>
      <c r="T14" t="inlineStr">
        <is>
          <t>yyyymmdd</t>
        </is>
      </c>
      <c r="U14" s="2" t="n">
        <v>45398</v>
      </c>
      <c r="V14" t="n">
        <v>49550</v>
      </c>
      <c r="W14" t="n">
        <v>2024</v>
      </c>
      <c r="X14" t="b">
        <v>1</v>
      </c>
      <c r="Y14" t="inlineStr">
        <is>
          <t>MG00010</t>
        </is>
      </c>
      <c r="Z14" t="inlineStr">
        <is>
          <t>AUTO_SINGLE</t>
        </is>
      </c>
      <c r="AA14" t="inlineStr">
        <is>
          <t>HIGH</t>
        </is>
      </c>
      <c r="AB14" s="2" t="n">
        <v>45420</v>
      </c>
      <c r="AC14" t="inlineStr">
        <is>
          <t>CB-31</t>
        </is>
      </c>
      <c r="AD14" t="inlineStr"/>
    </row>
    <row r="15">
      <c r="A15">
        <f>"511687770146637"</f>
        <v/>
      </c>
      <c r="B15" t="inlineStr">
        <is>
          <t>511687770146637-4</t>
        </is>
      </c>
      <c r="C15" t="inlineStr">
        <is>
          <t>GEMC-511687770146637</t>
        </is>
      </c>
      <c r="D15" t="inlineStr">
        <is>
          <t>goods</t>
        </is>
      </c>
      <c r="E15" t="inlineStr">
        <is>
          <t>Offline</t>
        </is>
      </c>
      <c r="F15" t="inlineStr">
        <is>
          <t>https://mkp.gem.gov.in/dashboard#!/products/order/511687770146637</t>
        </is>
      </c>
      <c r="G15" t="inlineStr">
        <is>
          <t>16.04.2024 08:55</t>
        </is>
      </c>
      <c r="H15" t="inlineStr">
        <is>
          <t>PRIYANKA ENTERPRISES</t>
        </is>
      </c>
      <c r="I15" t="inlineStr">
        <is>
          <t>GEM-42970295</t>
        </is>
      </c>
      <c r="J15" s="1" t="n">
        <v>45398.51228009259</v>
      </c>
      <c r="K15" t="n">
        <v>20697810</v>
      </c>
      <c r="L15" t="inlineStr">
        <is>
          <t>16-04-2024</t>
        </is>
      </c>
      <c r="M15" t="inlineStr">
        <is>
          <t>GEMCRAC-1-511687770146637-4</t>
        </is>
      </c>
      <c r="N15" t="inlineStr">
        <is>
          <t>05-10-2024</t>
        </is>
      </c>
      <c r="O15" t="n">
        <v>42500</v>
      </c>
      <c r="P15" t="inlineStr"/>
      <c r="Q15" t="inlineStr">
        <is>
          <t>https://mkp.gem.gov.in/finance#!/process_bill/511687770146637-4</t>
        </is>
      </c>
      <c r="R15" t="n">
        <v>42500</v>
      </c>
      <c r="S15" t="n">
        <v>0</v>
      </c>
      <c r="T15" t="inlineStr">
        <is>
          <t>yyyymmdd</t>
        </is>
      </c>
      <c r="U15" s="2" t="n">
        <v>45398</v>
      </c>
      <c r="V15" t="n">
        <v>42500</v>
      </c>
      <c r="W15" t="n">
        <v>2024</v>
      </c>
      <c r="X15" t="b">
        <v>1</v>
      </c>
      <c r="Y15" t="inlineStr">
        <is>
          <t>MG00009</t>
        </is>
      </c>
      <c r="Z15" t="inlineStr">
        <is>
          <t>AUTO_SINGLE</t>
        </is>
      </c>
      <c r="AA15" t="inlineStr">
        <is>
          <t>HIGH</t>
        </is>
      </c>
      <c r="AB15" s="2" t="n">
        <v>45420</v>
      </c>
      <c r="AC15" t="inlineStr">
        <is>
          <t>CB-32</t>
        </is>
      </c>
      <c r="AD15" t="inlineStr"/>
    </row>
    <row r="16">
      <c r="A16">
        <f>"511687724707249"</f>
        <v/>
      </c>
      <c r="B16" t="inlineStr">
        <is>
          <t>511687724707249-1</t>
        </is>
      </c>
      <c r="C16" t="inlineStr">
        <is>
          <t>GEMC-511687724707249</t>
        </is>
      </c>
      <c r="D16" t="inlineStr">
        <is>
          <t>goods</t>
        </is>
      </c>
      <c r="E16" t="inlineStr">
        <is>
          <t>Offline</t>
        </is>
      </c>
      <c r="F16" t="inlineStr">
        <is>
          <t>https://mkp.gem.gov.in/dashboard#!/products/order/511687724707249</t>
        </is>
      </c>
      <c r="G16" t="inlineStr">
        <is>
          <t>14.09.2024 15:20</t>
        </is>
      </c>
      <c r="H16" t="inlineStr">
        <is>
          <t>SHRI SAI ENTERPRISES</t>
        </is>
      </c>
      <c r="I16" t="inlineStr">
        <is>
          <t>GEM-47835485</t>
        </is>
      </c>
      <c r="J16" s="1" t="n">
        <v>45551.55255787037</v>
      </c>
      <c r="K16" t="n">
        <v>20696339</v>
      </c>
      <c r="L16" t="inlineStr">
        <is>
          <t>14-09-2024</t>
        </is>
      </c>
      <c r="M16" t="inlineStr">
        <is>
          <t>GEMCRAC-1-511687724707249-1</t>
        </is>
      </c>
      <c r="N16" t="inlineStr">
        <is>
          <t>05-10-2024</t>
        </is>
      </c>
      <c r="O16" t="n">
        <v>1350</v>
      </c>
      <c r="P16" t="inlineStr"/>
      <c r="Q16" t="inlineStr">
        <is>
          <t>https://mkp.gem.gov.in/finance#!/process_bill/511687724707249-1</t>
        </is>
      </c>
      <c r="R16" t="n">
        <v>1350</v>
      </c>
      <c r="S16" t="n">
        <v>0</v>
      </c>
      <c r="T16" t="inlineStr">
        <is>
          <t>yyyymmdd</t>
        </is>
      </c>
      <c r="U16" s="2" t="n">
        <v>45549</v>
      </c>
      <c r="V16" t="n">
        <v>1350</v>
      </c>
      <c r="W16" t="n">
        <v>2024</v>
      </c>
      <c r="X16" t="b">
        <v>1</v>
      </c>
      <c r="Y16" t="inlineStr">
        <is>
          <t>MG00013</t>
        </is>
      </c>
      <c r="Z16" t="inlineStr">
        <is>
          <t>AUTO_COMBINATION</t>
        </is>
      </c>
      <c r="AA16" t="inlineStr">
        <is>
          <t>MEDIUM</t>
        </is>
      </c>
      <c r="AB16" s="2" t="n">
        <v>45555</v>
      </c>
      <c r="AC16" t="inlineStr">
        <is>
          <t>CB-196</t>
        </is>
      </c>
      <c r="AD16" t="inlineStr"/>
    </row>
    <row r="17">
      <c r="A17">
        <f>"511687769884491"</f>
        <v/>
      </c>
      <c r="B17" t="inlineStr">
        <is>
          <t>511687769884491-1</t>
        </is>
      </c>
      <c r="C17" t="inlineStr">
        <is>
          <t>GEMC-511687769884491</t>
        </is>
      </c>
      <c r="D17" t="inlineStr">
        <is>
          <t>goods</t>
        </is>
      </c>
      <c r="E17" t="inlineStr">
        <is>
          <t>Offline</t>
        </is>
      </c>
      <c r="F17" t="inlineStr">
        <is>
          <t>https://mkp.gem.gov.in/dashboard#!/products/order/511687769884491</t>
        </is>
      </c>
      <c r="G17" t="inlineStr">
        <is>
          <t>14.09.2024 15:21</t>
        </is>
      </c>
      <c r="H17" t="inlineStr">
        <is>
          <t>SHRI SAI ENTERPRISES</t>
        </is>
      </c>
      <c r="I17" t="inlineStr">
        <is>
          <t>GEM-47835350</t>
        </is>
      </c>
      <c r="J17" s="1" t="n">
        <v>45551.55019675926</v>
      </c>
      <c r="K17" t="n">
        <v>20696476</v>
      </c>
      <c r="L17" t="inlineStr">
        <is>
          <t>19-09-2024</t>
        </is>
      </c>
      <c r="M17" t="inlineStr">
        <is>
          <t>GEMCRAC-1-511687769884491-1</t>
        </is>
      </c>
      <c r="N17" t="inlineStr">
        <is>
          <t>05-10-2024</t>
        </is>
      </c>
      <c r="O17" t="n">
        <v>1540</v>
      </c>
      <c r="P17" t="inlineStr"/>
      <c r="Q17" t="inlineStr">
        <is>
          <t>https://mkp.gem.gov.in/finance#!/process_bill/511687769884491-1</t>
        </is>
      </c>
      <c r="R17" t="n">
        <v>1540</v>
      </c>
      <c r="S17" t="n">
        <v>0</v>
      </c>
      <c r="T17" t="inlineStr">
        <is>
          <t>yyyymmdd</t>
        </is>
      </c>
      <c r="U17" s="2" t="n">
        <v>45554</v>
      </c>
      <c r="V17" t="n">
        <v>1540</v>
      </c>
      <c r="W17" t="n">
        <v>2024</v>
      </c>
      <c r="X17" t="b">
        <v>1</v>
      </c>
      <c r="Y17" t="inlineStr">
        <is>
          <t>MG00013</t>
        </is>
      </c>
      <c r="Z17" t="inlineStr">
        <is>
          <t>AUTO_COMBINATION</t>
        </is>
      </c>
      <c r="AA17" t="inlineStr">
        <is>
          <t>MEDIUM</t>
        </is>
      </c>
      <c r="AB17" s="2" t="n">
        <v>45555</v>
      </c>
      <c r="AC17" t="inlineStr">
        <is>
          <t>CB-196</t>
        </is>
      </c>
      <c r="AD17" t="inlineStr"/>
    </row>
    <row r="18">
      <c r="A18">
        <f>"511687747510746"</f>
        <v/>
      </c>
      <c r="B18" t="inlineStr">
        <is>
          <t>511687747510746-1</t>
        </is>
      </c>
      <c r="C18" t="inlineStr">
        <is>
          <t>GEMC-511687747510746</t>
        </is>
      </c>
      <c r="D18" t="inlineStr">
        <is>
          <t>goods</t>
        </is>
      </c>
      <c r="E18" t="inlineStr">
        <is>
          <t>Offline</t>
        </is>
      </c>
      <c r="F18" t="inlineStr">
        <is>
          <t>https://mkp.gem.gov.in/dashboard#!/products/order/511687747510746</t>
        </is>
      </c>
      <c r="G18" t="inlineStr">
        <is>
          <t>14.09.2024 15:23</t>
        </is>
      </c>
      <c r="H18" t="inlineStr">
        <is>
          <t>SHRI SAI ENTERPRISES</t>
        </is>
      </c>
      <c r="I18" t="inlineStr">
        <is>
          <t>GEM-47835265</t>
        </is>
      </c>
      <c r="J18" s="1" t="n">
        <v>45551.54863425926</v>
      </c>
      <c r="K18" t="n">
        <v>20696501</v>
      </c>
      <c r="L18" t="inlineStr">
        <is>
          <t>16-09-2024</t>
        </is>
      </c>
      <c r="M18" t="inlineStr">
        <is>
          <t>GEMCRAC-1-511687747510746-1</t>
        </is>
      </c>
      <c r="N18" t="inlineStr">
        <is>
          <t>05-10-2024</t>
        </is>
      </c>
      <c r="O18" t="n">
        <v>1250</v>
      </c>
      <c r="P18" t="inlineStr"/>
      <c r="Q18" t="inlineStr">
        <is>
          <t>https://mkp.gem.gov.in/finance#!/process_bill/511687747510746-1</t>
        </is>
      </c>
      <c r="R18" t="n">
        <v>1250</v>
      </c>
      <c r="S18" t="n">
        <v>0</v>
      </c>
      <c r="T18" t="inlineStr">
        <is>
          <t>yyyymmdd</t>
        </is>
      </c>
      <c r="U18" s="2" t="n">
        <v>45551</v>
      </c>
      <c r="V18" t="n">
        <v>1250</v>
      </c>
      <c r="W18" t="n">
        <v>2024</v>
      </c>
      <c r="X18" t="b">
        <v>1</v>
      </c>
      <c r="Y18" t="inlineStr">
        <is>
          <t>MG00016</t>
        </is>
      </c>
      <c r="Z18" t="inlineStr">
        <is>
          <t>AUTO_COMBINATION</t>
        </is>
      </c>
      <c r="AA18" t="inlineStr">
        <is>
          <t>MEDIUM</t>
        </is>
      </c>
      <c r="AB18" s="2" t="n">
        <v>45610</v>
      </c>
      <c r="AC18" t="inlineStr">
        <is>
          <t>CB-231</t>
        </is>
      </c>
      <c r="AD18" t="inlineStr"/>
    </row>
    <row r="19">
      <c r="A19">
        <f>"511687765138854"</f>
        <v/>
      </c>
      <c r="B19" t="inlineStr">
        <is>
          <t>511687765138854-1</t>
        </is>
      </c>
      <c r="C19" t="inlineStr">
        <is>
          <t>GEMC-511687765138854</t>
        </is>
      </c>
      <c r="D19" t="inlineStr">
        <is>
          <t>goods</t>
        </is>
      </c>
      <c r="E19" t="inlineStr">
        <is>
          <t>Offline</t>
        </is>
      </c>
      <c r="F19" t="inlineStr">
        <is>
          <t>https://mkp.gem.gov.in/dashboard#!/products/order/511687765138854</t>
        </is>
      </c>
      <c r="G19" t="inlineStr">
        <is>
          <t>14.09.2024 15:25</t>
        </is>
      </c>
      <c r="H19" t="inlineStr">
        <is>
          <t>SONY ENTERPRISES</t>
        </is>
      </c>
      <c r="I19" t="inlineStr">
        <is>
          <t>GEM-47833225</t>
        </is>
      </c>
      <c r="J19" s="1" t="n">
        <v>45551.5191550926</v>
      </c>
      <c r="K19" t="n">
        <v>20696523</v>
      </c>
      <c r="L19" t="inlineStr">
        <is>
          <t>16-09-2024</t>
        </is>
      </c>
      <c r="M19" t="inlineStr">
        <is>
          <t>GEMCRAC-1-511687765138854-1</t>
        </is>
      </c>
      <c r="N19" t="inlineStr">
        <is>
          <t>05-10-2024</t>
        </is>
      </c>
      <c r="O19" t="n">
        <v>1710</v>
      </c>
      <c r="P19" t="inlineStr"/>
      <c r="Q19" t="inlineStr">
        <is>
          <t>https://mkp.gem.gov.in/finance#!/process_bill/511687765138854-1</t>
        </is>
      </c>
      <c r="R19" t="n">
        <v>1710</v>
      </c>
      <c r="S19" t="n">
        <v>0</v>
      </c>
      <c r="T19" t="inlineStr">
        <is>
          <t>yyyymmdd</t>
        </is>
      </c>
      <c r="U19" s="2" t="n">
        <v>45551</v>
      </c>
      <c r="V19" t="n">
        <v>1710</v>
      </c>
      <c r="W19" t="n">
        <v>2024</v>
      </c>
      <c r="X19" t="b">
        <v>1</v>
      </c>
      <c r="Y19" t="inlineStr">
        <is>
          <t>MG00013</t>
        </is>
      </c>
      <c r="Z19" t="inlineStr">
        <is>
          <t>AUTO_COMBINATION</t>
        </is>
      </c>
      <c r="AA19" t="inlineStr">
        <is>
          <t>MEDIUM</t>
        </is>
      </c>
      <c r="AB19" s="2" t="n">
        <v>45555</v>
      </c>
      <c r="AC19" t="inlineStr">
        <is>
          <t>CB-196</t>
        </is>
      </c>
      <c r="AD19" t="inlineStr"/>
    </row>
    <row r="20">
      <c r="A20">
        <f>"511687763108231"</f>
        <v/>
      </c>
      <c r="B20" t="inlineStr">
        <is>
          <t>511687763108231-1</t>
        </is>
      </c>
      <c r="C20" t="inlineStr">
        <is>
          <t>GEMC-511687763108231</t>
        </is>
      </c>
      <c r="D20" t="inlineStr">
        <is>
          <t>goods</t>
        </is>
      </c>
      <c r="E20" t="inlineStr">
        <is>
          <t>Offline</t>
        </is>
      </c>
      <c r="F20" t="inlineStr">
        <is>
          <t>https://mkp.gem.gov.in/dashboard#!/products/order/511687763108231</t>
        </is>
      </c>
      <c r="G20" t="inlineStr">
        <is>
          <t>14.09.2024 15:26</t>
        </is>
      </c>
      <c r="H20" t="inlineStr">
        <is>
          <t>SONY ENTERPRISES</t>
        </is>
      </c>
      <c r="I20" t="inlineStr">
        <is>
          <t>GEM-47833053</t>
        </is>
      </c>
      <c r="J20" s="1" t="n">
        <v>45551.516875</v>
      </c>
      <c r="K20" t="n">
        <v>20696542</v>
      </c>
      <c r="L20" t="inlineStr">
        <is>
          <t>14-09-2024</t>
        </is>
      </c>
      <c r="M20" t="inlineStr">
        <is>
          <t>GEMCRAC-1-511687763108231-1</t>
        </is>
      </c>
      <c r="N20" t="inlineStr">
        <is>
          <t>05-10-2024</t>
        </is>
      </c>
      <c r="O20" t="n">
        <v>1600</v>
      </c>
      <c r="P20" t="inlineStr"/>
      <c r="Q20" t="inlineStr">
        <is>
          <t>https://mkp.gem.gov.in/finance#!/process_bill/511687763108231-1</t>
        </is>
      </c>
      <c r="R20" t="n">
        <v>1600</v>
      </c>
      <c r="S20" t="n">
        <v>0</v>
      </c>
      <c r="T20" t="inlineStr">
        <is>
          <t>yyyymmdd</t>
        </is>
      </c>
      <c r="U20" s="2" t="n">
        <v>45549</v>
      </c>
      <c r="V20" t="n">
        <v>1600</v>
      </c>
      <c r="W20" t="n">
        <v>2024</v>
      </c>
      <c r="X20" t="b">
        <v>1</v>
      </c>
      <c r="Y20" t="inlineStr">
        <is>
          <t>MG00016</t>
        </is>
      </c>
      <c r="Z20" t="inlineStr">
        <is>
          <t>AUTO_COMBINATION</t>
        </is>
      </c>
      <c r="AA20" t="inlineStr">
        <is>
          <t>MEDIUM</t>
        </is>
      </c>
      <c r="AB20" s="2" t="n">
        <v>45610</v>
      </c>
      <c r="AC20" t="inlineStr">
        <is>
          <t>CB-231</t>
        </is>
      </c>
      <c r="AD20" t="inlineStr"/>
    </row>
    <row r="21">
      <c r="A21">
        <f>"511687710687129"</f>
        <v/>
      </c>
      <c r="B21" t="inlineStr">
        <is>
          <t>511687710687129-1</t>
        </is>
      </c>
      <c r="C21" t="inlineStr">
        <is>
          <t>GEMC-511687710687129</t>
        </is>
      </c>
      <c r="D21" t="inlineStr">
        <is>
          <t>goods</t>
        </is>
      </c>
      <c r="E21" t="inlineStr">
        <is>
          <t>Offline</t>
        </is>
      </c>
      <c r="F21" t="inlineStr">
        <is>
          <t>https://mkp.gem.gov.in/dashboard#!/products/order/511687710687129</t>
        </is>
      </c>
      <c r="G21" t="inlineStr">
        <is>
          <t>14.09.2024 15:27</t>
        </is>
      </c>
      <c r="H21" t="inlineStr">
        <is>
          <t>SHRI SAI ENTERPRISES</t>
        </is>
      </c>
      <c r="I21" t="inlineStr">
        <is>
          <t>GEM-47835182</t>
        </is>
      </c>
      <c r="J21" s="1" t="n">
        <v>45551.54738425926</v>
      </c>
      <c r="K21" t="n">
        <v>20696562</v>
      </c>
      <c r="L21" t="inlineStr">
        <is>
          <t>16-09-2024</t>
        </is>
      </c>
      <c r="M21" t="inlineStr">
        <is>
          <t>GEMCRAC-1-511687710687129-1</t>
        </is>
      </c>
      <c r="N21" t="inlineStr">
        <is>
          <t>05-10-2024</t>
        </is>
      </c>
      <c r="O21" t="n">
        <v>2400</v>
      </c>
      <c r="P21" t="inlineStr"/>
      <c r="Q21" t="inlineStr">
        <is>
          <t>https://mkp.gem.gov.in/finance#!/process_bill/511687710687129-1</t>
        </is>
      </c>
      <c r="R21" t="n">
        <v>2400</v>
      </c>
      <c r="S21" t="n">
        <v>0</v>
      </c>
      <c r="T21" t="inlineStr">
        <is>
          <t>yyyymmdd</t>
        </is>
      </c>
      <c r="U21" s="2" t="n">
        <v>45551</v>
      </c>
      <c r="V21" t="n">
        <v>2400</v>
      </c>
      <c r="W21" t="n">
        <v>2024</v>
      </c>
      <c r="X21" t="b">
        <v>1</v>
      </c>
      <c r="Y21" t="inlineStr">
        <is>
          <t>MG00013</t>
        </is>
      </c>
      <c r="Z21" t="inlineStr">
        <is>
          <t>AUTO_COMBINATION</t>
        </is>
      </c>
      <c r="AA21" t="inlineStr">
        <is>
          <t>MEDIUM</t>
        </is>
      </c>
      <c r="AB21" s="2" t="n">
        <v>45555</v>
      </c>
      <c r="AC21" t="inlineStr">
        <is>
          <t>CB-196</t>
        </is>
      </c>
      <c r="AD21" t="inlineStr"/>
    </row>
    <row r="22">
      <c r="A22">
        <f>"511687791508175"</f>
        <v/>
      </c>
      <c r="B22" t="inlineStr">
        <is>
          <t>511687791508175-1</t>
        </is>
      </c>
      <c r="C22" t="inlineStr">
        <is>
          <t>GEMC-511687791508175</t>
        </is>
      </c>
      <c r="D22" t="inlineStr">
        <is>
          <t>goods</t>
        </is>
      </c>
      <c r="E22" t="inlineStr">
        <is>
          <t>Offline</t>
        </is>
      </c>
      <c r="F22" t="inlineStr">
        <is>
          <t>https://mkp.gem.gov.in/dashboard#!/products/order/511687791508175</t>
        </is>
      </c>
      <c r="G22" t="inlineStr">
        <is>
          <t>14.09.2024 15:29</t>
        </is>
      </c>
      <c r="H22" t="inlineStr">
        <is>
          <t>SHRI SAI ENTERPRISES</t>
        </is>
      </c>
      <c r="I22" t="inlineStr">
        <is>
          <t>GEM-47835127</t>
        </is>
      </c>
      <c r="J22" s="1" t="n">
        <v>45551.54633101852</v>
      </c>
      <c r="K22" t="n">
        <v>20696567</v>
      </c>
      <c r="L22" t="inlineStr">
        <is>
          <t>16-09-2024</t>
        </is>
      </c>
      <c r="M22" t="inlineStr">
        <is>
          <t>GEMCRAC-1-511687791508175-1</t>
        </is>
      </c>
      <c r="N22" t="inlineStr">
        <is>
          <t>05-10-2024</t>
        </is>
      </c>
      <c r="O22" t="n">
        <v>1350</v>
      </c>
      <c r="P22" t="inlineStr"/>
      <c r="Q22" t="inlineStr">
        <is>
          <t>https://mkp.gem.gov.in/finance#!/process_bill/511687791508175-1</t>
        </is>
      </c>
      <c r="R22" t="n">
        <v>1350</v>
      </c>
      <c r="S22" t="n">
        <v>0</v>
      </c>
      <c r="T22" t="inlineStr">
        <is>
          <t>yyyymmdd</t>
        </is>
      </c>
      <c r="U22" s="2" t="n">
        <v>45551</v>
      </c>
      <c r="V22" t="n">
        <v>1350</v>
      </c>
      <c r="W22" t="n">
        <v>2024</v>
      </c>
      <c r="X22" t="b">
        <v>1</v>
      </c>
      <c r="Y22" t="inlineStr">
        <is>
          <t>MG00016</t>
        </is>
      </c>
      <c r="Z22" t="inlineStr">
        <is>
          <t>AUTO_COMBINATION</t>
        </is>
      </c>
      <c r="AA22" t="inlineStr">
        <is>
          <t>MEDIUM</t>
        </is>
      </c>
      <c r="AB22" s="2" t="n">
        <v>45610</v>
      </c>
      <c r="AC22" t="inlineStr">
        <is>
          <t>CB-231</t>
        </is>
      </c>
      <c r="AD22" t="inlineStr"/>
    </row>
    <row r="23">
      <c r="A23">
        <f>"511687741935302"</f>
        <v/>
      </c>
      <c r="B23" t="inlineStr">
        <is>
          <t>511687741935302-1</t>
        </is>
      </c>
      <c r="C23" t="inlineStr">
        <is>
          <t>GEMC-511687741935302</t>
        </is>
      </c>
      <c r="D23" t="inlineStr">
        <is>
          <t>goods</t>
        </is>
      </c>
      <c r="E23" t="inlineStr">
        <is>
          <t>Offline</t>
        </is>
      </c>
      <c r="F23" t="inlineStr">
        <is>
          <t>https://mkp.gem.gov.in/dashboard#!/products/order/511687741935302</t>
        </is>
      </c>
      <c r="G23" t="inlineStr">
        <is>
          <t>14.09.2024 15:31</t>
        </is>
      </c>
      <c r="H23" t="inlineStr">
        <is>
          <t>SHRI SAI ENTERPRISES</t>
        </is>
      </c>
      <c r="I23" t="inlineStr">
        <is>
          <t>GEM-47835046</t>
        </is>
      </c>
      <c r="J23" s="1" t="n">
        <v>45551.54501157408</v>
      </c>
      <c r="K23" t="n">
        <v>20696578</v>
      </c>
      <c r="L23" t="inlineStr">
        <is>
          <t>16-09-2024</t>
        </is>
      </c>
      <c r="M23" t="inlineStr">
        <is>
          <t>GEMCRAC-1-511687741935302-1</t>
        </is>
      </c>
      <c r="N23" t="inlineStr">
        <is>
          <t>05-10-2024</t>
        </is>
      </c>
      <c r="O23" t="n">
        <v>1500</v>
      </c>
      <c r="P23" t="inlineStr"/>
      <c r="Q23" t="inlineStr">
        <is>
          <t>https://mkp.gem.gov.in/finance#!/process_bill/511687741935302-1</t>
        </is>
      </c>
      <c r="R23" t="n">
        <v>1500</v>
      </c>
      <c r="S23" t="n">
        <v>0</v>
      </c>
      <c r="T23" t="inlineStr">
        <is>
          <t>yyyymmdd</t>
        </is>
      </c>
      <c r="U23" s="2" t="n">
        <v>45551</v>
      </c>
      <c r="V23" t="n">
        <v>1500</v>
      </c>
      <c r="W23" t="n">
        <v>2024</v>
      </c>
      <c r="X23" t="b">
        <v>1</v>
      </c>
      <c r="Y23" t="inlineStr">
        <is>
          <t>MG00016</t>
        </is>
      </c>
      <c r="Z23" t="inlineStr">
        <is>
          <t>AUTO_COMBINATION</t>
        </is>
      </c>
      <c r="AA23" t="inlineStr">
        <is>
          <t>MEDIUM</t>
        </is>
      </c>
      <c r="AB23" s="2" t="n">
        <v>45610</v>
      </c>
      <c r="AC23" t="inlineStr">
        <is>
          <t>CB-231</t>
        </is>
      </c>
      <c r="AD23" t="inlineStr"/>
    </row>
    <row r="24">
      <c r="A24">
        <f>"511687725224961"</f>
        <v/>
      </c>
      <c r="B24" t="inlineStr">
        <is>
          <t>511687725224961-1</t>
        </is>
      </c>
      <c r="C24" t="inlineStr">
        <is>
          <t>GEMC-511687725224961</t>
        </is>
      </c>
      <c r="D24" t="inlineStr">
        <is>
          <t>goods</t>
        </is>
      </c>
      <c r="E24" t="inlineStr">
        <is>
          <t>Offline</t>
        </is>
      </c>
      <c r="F24" t="inlineStr">
        <is>
          <t>https://mkp.gem.gov.in/dashboard#!/products/order/511687725224961</t>
        </is>
      </c>
      <c r="G24" t="inlineStr">
        <is>
          <t>14.09.2024 15:31</t>
        </is>
      </c>
      <c r="H24" t="inlineStr">
        <is>
          <t>SHRI SAI ENTERPRISES</t>
        </is>
      </c>
      <c r="I24" t="inlineStr">
        <is>
          <t>GEM-47834964</t>
        </is>
      </c>
      <c r="J24" s="1" t="n">
        <v>45551.54378472222</v>
      </c>
      <c r="K24" t="n">
        <v>20696585</v>
      </c>
      <c r="L24" t="inlineStr">
        <is>
          <t>16-09-2024</t>
        </is>
      </c>
      <c r="M24" t="inlineStr">
        <is>
          <t>GEMCRAC-1-511687725224961-1</t>
        </is>
      </c>
      <c r="N24" t="inlineStr">
        <is>
          <t>05-10-2024</t>
        </is>
      </c>
      <c r="O24" t="n">
        <v>900</v>
      </c>
      <c r="P24" t="inlineStr"/>
      <c r="Q24" t="inlineStr">
        <is>
          <t>https://mkp.gem.gov.in/finance#!/process_bill/511687725224961-1</t>
        </is>
      </c>
      <c r="R24" t="n">
        <v>900</v>
      </c>
      <c r="S24" t="n">
        <v>0</v>
      </c>
      <c r="T24" t="inlineStr">
        <is>
          <t>yyyymmdd</t>
        </is>
      </c>
      <c r="U24" s="2" t="n">
        <v>45551</v>
      </c>
      <c r="V24" t="n">
        <v>900</v>
      </c>
      <c r="W24" t="n">
        <v>2024</v>
      </c>
      <c r="X24" t="b">
        <v>1</v>
      </c>
      <c r="Y24" t="inlineStr">
        <is>
          <t>MG00016</t>
        </is>
      </c>
      <c r="Z24" t="inlineStr">
        <is>
          <t>AUTO_COMBINATION</t>
        </is>
      </c>
      <c r="AA24" t="inlineStr">
        <is>
          <t>MEDIUM</t>
        </is>
      </c>
      <c r="AB24" s="2" t="n">
        <v>45610</v>
      </c>
      <c r="AC24" t="inlineStr">
        <is>
          <t>CB-231</t>
        </is>
      </c>
      <c r="AD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2026-02-01T18:06:35Z</dcterms:created>
  <dcterms:modified xsi:type="dcterms:W3CDTF">2026-02-01T18:06:35Z</dcterms:modified>
</cp:coreProperties>
</file>